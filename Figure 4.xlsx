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zhang\seadrive_root\Sha.Zhan\Shared with me\eBiogeochem\Sha.Zhang\Floating Living Iron films\"/>
    </mc:Choice>
  </mc:AlternateContent>
  <xr:revisionPtr revIDLastSave="0" documentId="13_ncr:1_{2BA464CE-F913-4635-B8C6-8B4C6AB4ED4F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L12" i="1"/>
  <c r="K12" i="1"/>
  <c r="L11" i="1"/>
  <c r="K11" i="1"/>
  <c r="H11" i="1"/>
  <c r="G11" i="1"/>
  <c r="F11" i="1"/>
  <c r="L10" i="1"/>
  <c r="K10" i="1"/>
  <c r="L9" i="1"/>
  <c r="K9" i="1"/>
  <c r="H9" i="1"/>
  <c r="G9" i="1"/>
  <c r="F9" i="1"/>
  <c r="L8" i="1"/>
  <c r="G8" i="1"/>
  <c r="H7" i="1"/>
  <c r="H6" i="1"/>
  <c r="H5" i="1"/>
  <c r="H4" i="1"/>
  <c r="G3" i="1"/>
  <c r="F6" i="1" l="1"/>
  <c r="G6" i="1"/>
  <c r="F3" i="1"/>
  <c r="F7" i="1"/>
  <c r="G7" i="1"/>
  <c r="F10" i="1"/>
  <c r="F12" i="1"/>
  <c r="G10" i="1"/>
  <c r="G12" i="1"/>
  <c r="H10" i="1"/>
  <c r="H12" i="1"/>
  <c r="F4" i="1"/>
  <c r="G4" i="1"/>
  <c r="F8" i="1"/>
  <c r="F5" i="1"/>
  <c r="G5" i="1"/>
</calcChain>
</file>

<file path=xl/sharedStrings.xml><?xml version="1.0" encoding="utf-8"?>
<sst xmlns="http://schemas.openxmlformats.org/spreadsheetml/2006/main" count="20" uniqueCount="15">
  <si>
    <t>Day</t>
  </si>
  <si>
    <t>straw addition</t>
  </si>
  <si>
    <t>μmol/m2/s</t>
  </si>
  <si>
    <t>ton/ha</t>
  </si>
  <si>
    <t>g/m2</t>
  </si>
  <si>
    <t>JCH4_1</t>
  </si>
  <si>
    <t>JCH4_2</t>
  </si>
  <si>
    <t>JCH4_3</t>
  </si>
  <si>
    <t>mean JCH4</t>
  </si>
  <si>
    <t>mean JCH4_sd</t>
  </si>
  <si>
    <t>normlized JCH4 by straw weight</t>
  </si>
  <si>
    <t>iron film yield1</t>
  </si>
  <si>
    <t>iron film yield2</t>
  </si>
  <si>
    <t>iron film yield_mean</t>
  </si>
  <si>
    <t>iron film yield_sd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</si>
</sst>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dirty="0"/>
              <a:t>a</a:t>
            </a:r>
          </a:p>
        </c:rich>
      </c:tx>
      <c:layout>
        <c:manualLayout>
          <c:xMode val="edge"/>
          <c:yMode val="edge"/>
          <c:x val="1.844210845325751E-2"/>
          <c:y val="2.000364500952545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9000207333121313"/>
          <c:y val="0.13517458856427864"/>
          <c:w val="0.74720053493642635"/>
          <c:h val="0.65513091719260108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0000">
                  <a:alpha val="50000"/>
                </a:srgbClr>
              </a:solidFill>
              <a:ln>
                <a:noFill/>
              </a:ln>
            </c:spPr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9.1714040369078445E-2"/>
                  <c:y val="0.2527011656329316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[1]YCH_Ratoon_Straw1!$W$3:$W$7</c:f>
                <c:numCache>
                  <c:formatCode>General</c:formatCode>
                  <c:ptCount val="5"/>
                  <c:pt idx="0">
                    <c:v>1.7795361201890056E-2</c:v>
                  </c:pt>
                  <c:pt idx="1">
                    <c:v>6.6968364639925764E-3</c:v>
                  </c:pt>
                  <c:pt idx="2">
                    <c:v>9.9270752289772543E-3</c:v>
                  </c:pt>
                  <c:pt idx="3">
                    <c:v>7.2089474877096688E-2</c:v>
                  </c:pt>
                  <c:pt idx="4">
                    <c:v>2.4324010992648758E-2</c:v>
                  </c:pt>
                </c:numCache>
              </c:numRef>
            </c:plus>
            <c:minus>
              <c:numRef>
                <c:f>[1]YCH_Ratoon_Straw1!$W$3:$W$7</c:f>
                <c:numCache>
                  <c:formatCode>General</c:formatCode>
                  <c:ptCount val="5"/>
                  <c:pt idx="0">
                    <c:v>1.7795361201890056E-2</c:v>
                  </c:pt>
                  <c:pt idx="1">
                    <c:v>6.6968364639925764E-3</c:v>
                  </c:pt>
                  <c:pt idx="2">
                    <c:v>9.9270752289772543E-3</c:v>
                  </c:pt>
                  <c:pt idx="3">
                    <c:v>7.2089474877096688E-2</c:v>
                  </c:pt>
                  <c:pt idx="4">
                    <c:v>2.4324010992648758E-2</c:v>
                  </c:pt>
                </c:numCache>
              </c:numRef>
            </c:minus>
          </c:errBars>
          <c:xVal>
            <c:numRef>
              <c:f>[1]YCH_Ratoon_Straw1!$U$3:$U$7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[1]YCH_Ratoon_Straw1!$V$3:$V$7</c:f>
              <c:numCache>
                <c:formatCode>General</c:formatCode>
                <c:ptCount val="5"/>
                <c:pt idx="0">
                  <c:v>2.4141145172715508E-2</c:v>
                </c:pt>
                <c:pt idx="1">
                  <c:v>7.6601710644193438E-2</c:v>
                </c:pt>
                <c:pt idx="2">
                  <c:v>0.10339838178590766</c:v>
                </c:pt>
                <c:pt idx="3">
                  <c:v>0.177437417019459</c:v>
                </c:pt>
                <c:pt idx="4">
                  <c:v>0.1519035134713945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A1-47CF-8838-5352DBE22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160575"/>
        <c:axId val="2130156255"/>
      </c:scatterChart>
      <c:valAx>
        <c:axId val="2130160575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/>
                </a:pPr>
                <a:r>
                  <a:rPr lang="en-US" sz="1200" b="0" dirty="0"/>
                  <a:t>Straw incorporation (ton</a:t>
                </a:r>
                <a:r>
                  <a:rPr lang="en-US" sz="1200" b="0" baseline="0" dirty="0"/>
                  <a:t> </a:t>
                </a:r>
                <a:r>
                  <a:rPr lang="en-US" sz="1200" b="0" dirty="0"/>
                  <a:t>ha</a:t>
                </a:r>
                <a:r>
                  <a:rPr lang="en-US" altLang="zh-CN" sz="1200" b="0" baseline="30000" dirty="0"/>
                  <a:t>-1</a:t>
                </a:r>
                <a:r>
                  <a:rPr lang="en-US" sz="1200" b="0" dirty="0"/>
                  <a:t>)</a:t>
                </a:r>
              </a:p>
            </c:rich>
          </c:tx>
          <c:layout>
            <c:manualLayout>
              <c:xMode val="edge"/>
              <c:yMode val="edge"/>
              <c:x val="0.38653116797900261"/>
              <c:y val="0.9087771784611172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US"/>
          </a:p>
        </c:txPr>
        <c:crossAx val="2130156255"/>
        <c:crosses val="autoZero"/>
        <c:crossBetween val="midCat"/>
      </c:valAx>
      <c:valAx>
        <c:axId val="21301562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/>
                </a:pPr>
                <a:r>
                  <a:rPr lang="en-US" sz="1200" b="0"/>
                  <a:t>JCH</a:t>
                </a:r>
                <a:r>
                  <a:rPr lang="en-US" sz="1200" b="0" baseline="-25000"/>
                  <a:t>4</a:t>
                </a:r>
                <a:r>
                  <a:rPr lang="en-US" sz="1200" b="0"/>
                  <a:t> (</a:t>
                </a:r>
                <a:r>
                  <a:rPr lang="el-GR" sz="1200" b="0"/>
                  <a:t>μ</a:t>
                </a:r>
                <a:r>
                  <a:rPr lang="en-US" sz="1200" b="0"/>
                  <a:t>mol m</a:t>
                </a:r>
                <a:r>
                  <a:rPr lang="en-US" sz="1200" b="0" baseline="30000"/>
                  <a:t>-2</a:t>
                </a:r>
                <a:r>
                  <a:rPr lang="en-US" sz="1200" b="0"/>
                  <a:t>s</a:t>
                </a:r>
                <a:r>
                  <a:rPr lang="en-US" sz="1200" b="0" baseline="30000"/>
                  <a:t>-1</a:t>
                </a:r>
                <a:r>
                  <a:rPr lang="en-US" sz="1200" b="0"/>
                  <a:t>)</a:t>
                </a:r>
              </a:p>
            </c:rich>
          </c:tx>
          <c:layout>
            <c:manualLayout>
              <c:xMode val="edge"/>
              <c:yMode val="edge"/>
              <c:x val="4.0373439281819391E-2"/>
              <c:y val="0.2847715013650783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US"/>
          </a:p>
        </c:txPr>
        <c:crossAx val="2130160575"/>
        <c:crosses val="autoZero"/>
        <c:crossBetween val="midCat"/>
      </c:valAx>
      <c:spPr>
        <a:ln>
          <a:solidFill>
            <a:schemeClr val="tx1">
              <a:lumMod val="25000"/>
              <a:lumOff val="75000"/>
            </a:schemeClr>
          </a:solidFill>
        </a:ln>
      </c:spPr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latin typeface="Inter" panose="02000503000000020004" pitchFamily="2" charset="0"/>
          <a:ea typeface="Inter" panose="0200050300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dirty="0"/>
              <a:t>b</a:t>
            </a:r>
          </a:p>
        </c:rich>
      </c:tx>
      <c:layout>
        <c:manualLayout>
          <c:xMode val="edge"/>
          <c:yMode val="edge"/>
          <c:x val="1.844210845325751E-2"/>
          <c:y val="2.000364500952545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9000207333121313"/>
          <c:y val="0.13517458856427864"/>
          <c:w val="0.74720053493642635"/>
          <c:h val="0.65513091719260108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0000">
                  <a:alpha val="50000"/>
                </a:srgbClr>
              </a:solidFill>
              <a:ln>
                <a:noFill/>
              </a:ln>
            </c:spPr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8.9498578302712156E-2"/>
                  <c:y val="0.21705301036166944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[1]YCH_Ratoon_Straw1!$W$8:$W$12</c:f>
                <c:numCache>
                  <c:formatCode>General</c:formatCode>
                  <c:ptCount val="5"/>
                  <c:pt idx="0">
                    <c:v>7.9574174454500241E-2</c:v>
                  </c:pt>
                  <c:pt idx="1">
                    <c:v>4.6483923691242671E-2</c:v>
                  </c:pt>
                  <c:pt idx="2">
                    <c:v>5.1998965485119363E-2</c:v>
                  </c:pt>
                  <c:pt idx="3">
                    <c:v>3.0332729866319394E-2</c:v>
                  </c:pt>
                  <c:pt idx="4">
                    <c:v>2.3241961845621332E-2</c:v>
                  </c:pt>
                </c:numCache>
              </c:numRef>
            </c:plus>
            <c:minus>
              <c:numRef>
                <c:f>[1]YCH_Ratoon_Straw1!$W$8:$W$12</c:f>
                <c:numCache>
                  <c:formatCode>General</c:formatCode>
                  <c:ptCount val="5"/>
                  <c:pt idx="0">
                    <c:v>7.9574174454500241E-2</c:v>
                  </c:pt>
                  <c:pt idx="1">
                    <c:v>4.6483923691242671E-2</c:v>
                  </c:pt>
                  <c:pt idx="2">
                    <c:v>5.1998965485119363E-2</c:v>
                  </c:pt>
                  <c:pt idx="3">
                    <c:v>3.0332729866319394E-2</c:v>
                  </c:pt>
                  <c:pt idx="4">
                    <c:v>2.3241961845621332E-2</c:v>
                  </c:pt>
                </c:numCache>
              </c:numRef>
            </c:minus>
          </c:errBars>
          <c:xVal>
            <c:numRef>
              <c:f>[1]YCH_Ratoon_Straw1!$U$3:$U$7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[1]YCH_Ratoon_Straw1!$V$8:$V$12</c:f>
              <c:numCache>
                <c:formatCode>General</c:formatCode>
                <c:ptCount val="5"/>
                <c:pt idx="0">
                  <c:v>5.682454171423805E-2</c:v>
                </c:pt>
                <c:pt idx="1">
                  <c:v>0.41058516905287684</c:v>
                </c:pt>
                <c:pt idx="2">
                  <c:v>0.34818959383724291</c:v>
                </c:pt>
                <c:pt idx="3">
                  <c:v>0.48161584619567444</c:v>
                </c:pt>
                <c:pt idx="4">
                  <c:v>0.32674111485686874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D4-4C19-A67A-5110933CA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160575"/>
        <c:axId val="2130156255"/>
      </c:scatterChart>
      <c:valAx>
        <c:axId val="2130160575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/>
                </a:pPr>
                <a:r>
                  <a:rPr lang="en-US" sz="1200" b="0" dirty="0"/>
                  <a:t>Straw incorporation (ton</a:t>
                </a:r>
                <a:r>
                  <a:rPr lang="en-US" sz="1200" b="0" baseline="0" dirty="0"/>
                  <a:t> </a:t>
                </a:r>
                <a:r>
                  <a:rPr lang="en-US" sz="1200" b="0" dirty="0"/>
                  <a:t>ha</a:t>
                </a:r>
                <a:r>
                  <a:rPr lang="en-US" altLang="zh-CN" sz="1200" b="0" baseline="30000" dirty="0"/>
                  <a:t>-1</a:t>
                </a:r>
                <a:r>
                  <a:rPr lang="en-US" sz="1200" b="0" dirty="0"/>
                  <a:t>)</a:t>
                </a:r>
              </a:p>
            </c:rich>
          </c:tx>
          <c:layout>
            <c:manualLayout>
              <c:xMode val="edge"/>
              <c:yMode val="edge"/>
              <c:x val="0.38653116797900261"/>
              <c:y val="0.9087771784611172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US"/>
          </a:p>
        </c:txPr>
        <c:crossAx val="2130156255"/>
        <c:crosses val="autoZero"/>
        <c:crossBetween val="midCat"/>
      </c:valAx>
      <c:valAx>
        <c:axId val="21301562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/>
                </a:pPr>
                <a:r>
                  <a:rPr lang="en-US" sz="1200" b="0"/>
                  <a:t>JCH</a:t>
                </a:r>
                <a:r>
                  <a:rPr lang="en-US" sz="1200" b="0" baseline="-25000"/>
                  <a:t>4</a:t>
                </a:r>
                <a:r>
                  <a:rPr lang="en-US" sz="1200" b="0"/>
                  <a:t> (</a:t>
                </a:r>
                <a:r>
                  <a:rPr lang="el-GR" sz="1200" b="0"/>
                  <a:t>μ</a:t>
                </a:r>
                <a:r>
                  <a:rPr lang="en-US" sz="1200" b="0"/>
                  <a:t>mol m</a:t>
                </a:r>
                <a:r>
                  <a:rPr lang="en-US" sz="1200" b="0" baseline="30000"/>
                  <a:t>-2</a:t>
                </a:r>
                <a:r>
                  <a:rPr lang="en-US" sz="1200" b="0"/>
                  <a:t>s</a:t>
                </a:r>
                <a:r>
                  <a:rPr lang="en-US" sz="1200" b="0" baseline="30000"/>
                  <a:t>-1</a:t>
                </a:r>
                <a:r>
                  <a:rPr lang="en-US" sz="1200" b="0"/>
                  <a:t>)</a:t>
                </a:r>
              </a:p>
            </c:rich>
          </c:tx>
          <c:layout>
            <c:manualLayout>
              <c:xMode val="edge"/>
              <c:yMode val="edge"/>
              <c:x val="4.0373439281819391E-2"/>
              <c:y val="0.2847715013650783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US"/>
          </a:p>
        </c:txPr>
        <c:crossAx val="2130160575"/>
        <c:crosses val="autoZero"/>
        <c:crossBetween val="midCat"/>
      </c:valAx>
      <c:spPr>
        <a:ln>
          <a:solidFill>
            <a:schemeClr val="tx1">
              <a:lumMod val="25000"/>
              <a:lumOff val="75000"/>
            </a:schemeClr>
          </a:solidFill>
        </a:ln>
      </c:spPr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latin typeface="Inter" panose="02000503000000020004" pitchFamily="2" charset="0"/>
          <a:ea typeface="Inter" panose="0200050300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dirty="0"/>
              <a:t>c</a:t>
            </a:r>
          </a:p>
        </c:rich>
      </c:tx>
      <c:layout>
        <c:manualLayout>
          <c:xMode val="edge"/>
          <c:yMode val="edge"/>
          <c:x val="1.844210845325751E-2"/>
          <c:y val="2.000364500952545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9000207333121313"/>
          <c:y val="0.13517458856427864"/>
          <c:w val="0.74720053493642635"/>
          <c:h val="0.65513091719260108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0000">
                  <a:alpha val="50000"/>
                </a:srgbClr>
              </a:solidFill>
              <a:ln>
                <a:noFill/>
              </a:ln>
            </c:spPr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2.8935924560912107E-2"/>
                  <c:y val="-0.31687387021802488"/>
                </c:manualLayout>
              </c:layout>
              <c:numFmt formatCode="General" sourceLinked="0"/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[1]YCH_Ratoon_Straw1!$Z$8:$Z$12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2.4105912994995951</c:v>
                  </c:pt>
                  <c:pt idx="3">
                    <c:v>2.4488546534599038</c:v>
                  </c:pt>
                  <c:pt idx="4">
                    <c:v>2.7948884631879367</c:v>
                  </c:pt>
                </c:numCache>
              </c:numRef>
            </c:plus>
            <c:minus>
              <c:numRef>
                <c:f>[1]YCH_Ratoon_Straw1!$Z$8:$Z$12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2.4105912994995951</c:v>
                  </c:pt>
                  <c:pt idx="3">
                    <c:v>2.4488546534599038</c:v>
                  </c:pt>
                  <c:pt idx="4">
                    <c:v>2.7948884631879367</c:v>
                  </c:pt>
                </c:numCache>
              </c:numRef>
            </c:minus>
          </c:errBars>
          <c:errBars>
            <c:errDir val="y"/>
            <c:errBarType val="both"/>
            <c:errValType val="cust"/>
            <c:noEndCap val="0"/>
            <c:plus>
              <c:numRef>
                <c:f>[1]YCH_Ratoon_Straw1!$AH$9:$AH$12</c:f>
                <c:numCache>
                  <c:formatCode>General</c:formatCode>
                  <c:ptCount val="4"/>
                  <c:pt idx="0">
                    <c:v>2.3241961845621335E-2</c:v>
                  </c:pt>
                  <c:pt idx="1">
                    <c:v>1.2999741371279841E-2</c:v>
                  </c:pt>
                  <c:pt idx="2">
                    <c:v>3.7915912332899242E-3</c:v>
                  </c:pt>
                  <c:pt idx="3">
                    <c:v>1.9368301538017778E-3</c:v>
                  </c:pt>
                </c:numCache>
              </c:numRef>
            </c:plus>
            <c:minus>
              <c:numRef>
                <c:f>[1]YCH_Ratoon_Straw1!$AH$9:$AH$12</c:f>
                <c:numCache>
                  <c:formatCode>General</c:formatCode>
                  <c:ptCount val="4"/>
                  <c:pt idx="0">
                    <c:v>2.3241961845621335E-2</c:v>
                  </c:pt>
                  <c:pt idx="1">
                    <c:v>1.2999741371279841E-2</c:v>
                  </c:pt>
                  <c:pt idx="2">
                    <c:v>3.7915912332899242E-3</c:v>
                  </c:pt>
                  <c:pt idx="3">
                    <c:v>1.9368301538017778E-3</c:v>
                  </c:pt>
                </c:numCache>
              </c:numRef>
            </c:minus>
          </c:errBars>
          <c:xVal>
            <c:numRef>
              <c:f>[1]YCH_Ratoon_Straw1!$Y$8:$Y$12</c:f>
              <c:numCache>
                <c:formatCode>General</c:formatCode>
                <c:ptCount val="5"/>
                <c:pt idx="0">
                  <c:v>0.27548209366391185</c:v>
                </c:pt>
                <c:pt idx="1">
                  <c:v>1.1961722488038278</c:v>
                </c:pt>
                <c:pt idx="2">
                  <c:v>3.9772727272727275</c:v>
                </c:pt>
                <c:pt idx="3">
                  <c:v>6.9264069264069263</c:v>
                </c:pt>
                <c:pt idx="4">
                  <c:v>12.516469038208168</c:v>
                </c:pt>
              </c:numCache>
            </c:numRef>
          </c:xVal>
          <c:yVal>
            <c:numRef>
              <c:f>[1]YCH_Ratoon_Straw1!$X$8:$X$12</c:f>
              <c:numCache>
                <c:formatCode>General</c:formatCode>
                <c:ptCount val="5"/>
                <c:pt idx="1">
                  <c:v>0.20529258452643842</c:v>
                </c:pt>
                <c:pt idx="2">
                  <c:v>8.7047398459310726E-2</c:v>
                </c:pt>
                <c:pt idx="3">
                  <c:v>6.0201980774459304E-2</c:v>
                </c:pt>
                <c:pt idx="4">
                  <c:v>2.7228426238072395E-2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EA-4BB0-ABC1-D524D96C3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160575"/>
        <c:axId val="2130156255"/>
      </c:scatterChart>
      <c:valAx>
        <c:axId val="2130160575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/>
                </a:pPr>
                <a:r>
                  <a:rPr lang="en-US" sz="1200" b="0" dirty="0"/>
                  <a:t>Straw incorporation (ton</a:t>
                </a:r>
                <a:r>
                  <a:rPr lang="en-US" sz="1200" b="0" baseline="0" dirty="0"/>
                  <a:t> </a:t>
                </a:r>
                <a:r>
                  <a:rPr lang="en-US" sz="1200" b="0" dirty="0"/>
                  <a:t>ha</a:t>
                </a:r>
                <a:r>
                  <a:rPr lang="en-US" altLang="zh-CN" sz="1200" b="0" baseline="30000" dirty="0"/>
                  <a:t>-1</a:t>
                </a:r>
                <a:r>
                  <a:rPr lang="en-US" sz="1200" b="0" dirty="0"/>
                  <a:t>)</a:t>
                </a:r>
              </a:p>
            </c:rich>
          </c:tx>
          <c:layout>
            <c:manualLayout>
              <c:xMode val="edge"/>
              <c:yMode val="edge"/>
              <c:x val="0.38653116797900261"/>
              <c:y val="0.9087771784611172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US"/>
          </a:p>
        </c:txPr>
        <c:crossAx val="2130156255"/>
        <c:crosses val="autoZero"/>
        <c:crossBetween val="midCat"/>
      </c:valAx>
      <c:valAx>
        <c:axId val="21301562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/>
                </a:pPr>
                <a:r>
                  <a:rPr lang="en-US" sz="1200" b="0"/>
                  <a:t>Normalized JCH</a:t>
                </a:r>
                <a:r>
                  <a:rPr lang="en-US" sz="1200" b="0" baseline="-25000"/>
                  <a:t>4</a:t>
                </a:r>
                <a:r>
                  <a:rPr lang="en-US" sz="1200" b="0"/>
                  <a:t> (</a:t>
                </a:r>
                <a:r>
                  <a:rPr lang="el-GR" sz="1200" b="0"/>
                  <a:t>μ</a:t>
                </a:r>
                <a:r>
                  <a:rPr lang="en-US" sz="1200" b="0"/>
                  <a:t>mol m</a:t>
                </a:r>
                <a:r>
                  <a:rPr lang="en-US" sz="1200" b="0" baseline="30000"/>
                  <a:t>-2</a:t>
                </a:r>
                <a:r>
                  <a:rPr lang="en-US" sz="1200" b="0"/>
                  <a:t>s</a:t>
                </a:r>
                <a:r>
                  <a:rPr lang="en-US" sz="1200" b="0" baseline="30000"/>
                  <a:t>-1</a:t>
                </a:r>
                <a:r>
                  <a:rPr lang="en-US" sz="1200" b="0"/>
                  <a:t>)</a:t>
                </a:r>
              </a:p>
            </c:rich>
          </c:tx>
          <c:layout>
            <c:manualLayout>
              <c:xMode val="edge"/>
              <c:yMode val="edge"/>
              <c:x val="5.7061223631676657E-2"/>
              <c:y val="0.144217360829306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US"/>
          </a:p>
        </c:txPr>
        <c:crossAx val="2130160575"/>
        <c:crosses val="autoZero"/>
        <c:crossBetween val="midCat"/>
      </c:valAx>
      <c:spPr>
        <a:ln>
          <a:solidFill>
            <a:schemeClr val="tx1">
              <a:lumMod val="25000"/>
              <a:lumOff val="75000"/>
            </a:schemeClr>
          </a:solidFill>
        </a:ln>
      </c:spPr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latin typeface="Inter" panose="02000503000000020004" pitchFamily="2" charset="0"/>
          <a:ea typeface="Inter" panose="0200050300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454602</xdr:colOff>
      <xdr:row>14</xdr:row>
      <xdr:rowOff>0</xdr:rowOff>
    </xdr:from>
    <xdr:to>
      <xdr:col>9</xdr:col>
      <xdr:colOff>1014556</xdr:colOff>
      <xdr:row>31</xdr:row>
      <xdr:rowOff>14340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40E718-DB0A-7FD1-E830-735F7992446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477693</xdr:colOff>
      <xdr:row>31</xdr:row>
      <xdr:rowOff>103910</xdr:rowOff>
    </xdr:from>
    <xdr:to>
      <xdr:col>9</xdr:col>
      <xdr:colOff>1037647</xdr:colOff>
      <xdr:row>48</xdr:row>
      <xdr:rowOff>118250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116638-3A4F-109B-12B0-EEE32AB2F3B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15875</xdr:colOff>
      <xdr:row>49</xdr:row>
      <xdr:rowOff>20205</xdr:rowOff>
    </xdr:from>
    <xdr:to>
      <xdr:col>9</xdr:col>
      <xdr:colOff>1083829</xdr:colOff>
      <xdr:row>66</xdr:row>
      <xdr:rowOff>34545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D2762E-3E30-26F1-EED4-58F84C5E2F9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hang\Documents\A_PhD_Thesis_SZ_2024\floating%20iron%20plaques\Floating%20Fe%20&amp;%20methane%20Fluxes.xlsx" TargetMode="External"/><Relationship Id="rId1" Type="http://schemas.openxmlformats.org/officeDocument/2006/relationships/externalLinkPath" Target="/Users/zhang/Documents/A_PhD_Thesis_SZ_2024/floating%20iron%20plaques/Floating%20Fe%20&amp;%20methane%20Flux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CH_Ratoon_Straw"/>
      <sheetName val="YCH_Ratoon_Straw1"/>
      <sheetName val="DSH"/>
      <sheetName val="Shangyu"/>
      <sheetName val="ocean"/>
      <sheetName val="lake"/>
      <sheetName val="paddy"/>
      <sheetName val="Qingyuan"/>
    </sheetNames>
    <sheetDataSet>
      <sheetData sheetId="0"/>
      <sheetData sheetId="1">
        <row r="3">
          <cell r="U3">
            <v>0</v>
          </cell>
          <cell r="V3">
            <v>2.4141145172715508E-2</v>
          </cell>
          <cell r="W3">
            <v>1.7795361201890056E-2</v>
          </cell>
        </row>
        <row r="4">
          <cell r="U4">
            <v>2</v>
          </cell>
          <cell r="V4">
            <v>7.6601710644193438E-2</v>
          </cell>
          <cell r="W4">
            <v>6.6968364639925764E-3</v>
          </cell>
        </row>
        <row r="5">
          <cell r="U5">
            <v>4</v>
          </cell>
          <cell r="V5">
            <v>0.10339838178590766</v>
          </cell>
          <cell r="W5">
            <v>9.9270752289772543E-3</v>
          </cell>
        </row>
        <row r="6">
          <cell r="U6">
            <v>8</v>
          </cell>
          <cell r="V6">
            <v>0.177437417019459</v>
          </cell>
          <cell r="W6">
            <v>7.2089474877096688E-2</v>
          </cell>
        </row>
        <row r="7">
          <cell r="U7">
            <v>12</v>
          </cell>
          <cell r="V7">
            <v>0.1519035134713945</v>
          </cell>
          <cell r="W7">
            <v>2.4324010992648758E-2</v>
          </cell>
        </row>
        <row r="8">
          <cell r="V8">
            <v>5.682454171423805E-2</v>
          </cell>
          <cell r="W8">
            <v>7.9574174454500241E-2</v>
          </cell>
          <cell r="Y8">
            <v>0.27548209366391185</v>
          </cell>
          <cell r="Z8">
            <v>0</v>
          </cell>
        </row>
        <row r="9">
          <cell r="V9">
            <v>0.41058516905287684</v>
          </cell>
          <cell r="W9">
            <v>4.6483923691242671E-2</v>
          </cell>
          <cell r="X9">
            <v>0.20529258452643842</v>
          </cell>
          <cell r="Y9">
            <v>1.1961722488038278</v>
          </cell>
          <cell r="Z9">
            <v>0</v>
          </cell>
          <cell r="AH9">
            <v>2.3241961845621335E-2</v>
          </cell>
        </row>
        <row r="10">
          <cell r="V10">
            <v>0.34818959383724291</v>
          </cell>
          <cell r="W10">
            <v>5.1998965485119363E-2</v>
          </cell>
          <cell r="X10">
            <v>8.7047398459310726E-2</v>
          </cell>
          <cell r="Y10">
            <v>3.9772727272727275</v>
          </cell>
          <cell r="Z10">
            <v>2.4105912994995951</v>
          </cell>
          <cell r="AH10">
            <v>1.2999741371279841E-2</v>
          </cell>
        </row>
        <row r="11">
          <cell r="V11">
            <v>0.48161584619567444</v>
          </cell>
          <cell r="W11">
            <v>3.0332729866319394E-2</v>
          </cell>
          <cell r="X11">
            <v>6.0201980774459304E-2</v>
          </cell>
          <cell r="Y11">
            <v>6.9264069264069263</v>
          </cell>
          <cell r="Z11">
            <v>2.4488546534599038</v>
          </cell>
          <cell r="AH11">
            <v>3.7915912332899242E-3</v>
          </cell>
        </row>
        <row r="12">
          <cell r="V12">
            <v>0.32674111485686874</v>
          </cell>
          <cell r="W12">
            <v>2.3241961845621332E-2</v>
          </cell>
          <cell r="X12">
            <v>2.7228426238072395E-2</v>
          </cell>
          <cell r="Y12">
            <v>12.516469038208168</v>
          </cell>
          <cell r="Z12">
            <v>2.7948884631879367</v>
          </cell>
          <cell r="AH12">
            <v>1.9368301538017778E-3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zoomScale="40" zoomScaleNormal="40" workbookViewId="0">
      <selection activeCell="O53" sqref="O53"/>
    </sheetView>
  </sheetViews>
  <sheetFormatPr defaultRowHeight="14.5" x14ac:dyDescent="0.35"/>
  <cols>
    <col min="1" max="1" width="7.1796875" customWidth="1"/>
    <col min="2" max="2" width="12.7265625" bestFit="1" customWidth="1"/>
    <col min="3" max="4" width="12.7265625" customWidth="1"/>
    <col min="5" max="5" width="14.453125" bestFit="1" customWidth="1"/>
    <col min="6" max="6" width="14" customWidth="1"/>
    <col min="7" max="7" width="16.26953125" bestFit="1" customWidth="1"/>
    <col min="8" max="8" width="31.7265625" bestFit="1" customWidth="1"/>
    <col min="9" max="9" width="20.36328125" style="1" customWidth="1"/>
    <col min="10" max="10" width="21.26953125" style="1" bestFit="1" customWidth="1"/>
    <col min="11" max="11" width="20.36328125" style="1" bestFit="1" customWidth="1"/>
    <col min="12" max="12" width="17.1796875" style="1" bestFit="1" customWidth="1"/>
  </cols>
  <sheetData>
    <row r="1" spans="1:20" x14ac:dyDescent="0.35">
      <c r="A1" s="1" t="s">
        <v>0</v>
      </c>
      <c r="B1" s="1" t="s">
        <v>5</v>
      </c>
      <c r="C1" s="1" t="s">
        <v>6</v>
      </c>
      <c r="D1" s="1" t="s">
        <v>7</v>
      </c>
      <c r="E1" s="1" t="s">
        <v>1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20" x14ac:dyDescent="0.35">
      <c r="B2" s="1" t="s">
        <v>2</v>
      </c>
      <c r="C2" s="1" t="s">
        <v>2</v>
      </c>
      <c r="D2" s="1" t="s">
        <v>2</v>
      </c>
      <c r="E2" s="1" t="s">
        <v>3</v>
      </c>
      <c r="F2" s="1"/>
      <c r="G2" s="1"/>
      <c r="I2" s="1" t="s">
        <v>4</v>
      </c>
      <c r="J2" s="1" t="s">
        <v>4</v>
      </c>
      <c r="K2" s="1" t="s">
        <v>4</v>
      </c>
      <c r="L2" s="1" t="s">
        <v>4</v>
      </c>
      <c r="O2" s="1"/>
      <c r="P2" s="1"/>
      <c r="R2" s="1"/>
      <c r="S2" s="1"/>
      <c r="T2" s="1"/>
    </row>
    <row r="3" spans="1:20" x14ac:dyDescent="0.35">
      <c r="A3" s="2">
        <v>1</v>
      </c>
      <c r="B3" s="1">
        <v>3.7325924459352441E-2</v>
      </c>
      <c r="C3" s="1">
        <v>3.1197787607816961E-2</v>
      </c>
      <c r="D3" s="1">
        <v>3.8997234509771201E-3</v>
      </c>
      <c r="E3" s="1">
        <v>0</v>
      </c>
      <c r="F3" s="1">
        <f>AVERAGEA(B3:D3)</f>
        <v>2.4141145172715508E-2</v>
      </c>
      <c r="G3" s="1">
        <f>STDEVA(B3:D3)</f>
        <v>1.7795361201890056E-2</v>
      </c>
      <c r="O3" s="1"/>
      <c r="P3" s="1"/>
      <c r="R3" s="1"/>
      <c r="S3" s="1"/>
      <c r="T3" s="1"/>
    </row>
    <row r="4" spans="1:20" x14ac:dyDescent="0.35">
      <c r="A4" s="2">
        <v>1</v>
      </c>
      <c r="B4" s="1">
        <v>8.133708912037993E-2</v>
      </c>
      <c r="C4" s="1"/>
      <c r="D4" s="1">
        <v>7.1866332168006947E-2</v>
      </c>
      <c r="E4" s="1">
        <v>2</v>
      </c>
      <c r="F4" s="1">
        <f t="shared" ref="F4:F12" si="0">AVERAGEA(B4:D4)</f>
        <v>7.6601710644193438E-2</v>
      </c>
      <c r="G4" s="1">
        <f t="shared" ref="G4:G12" si="1">STDEVA(B4:D4)</f>
        <v>6.6968364639925764E-3</v>
      </c>
      <c r="H4">
        <f>AVERAGEA(B4:D4)/E4</f>
        <v>3.8300855322096719E-2</v>
      </c>
      <c r="O4" s="1"/>
      <c r="P4" s="1"/>
      <c r="R4" s="1"/>
      <c r="S4" s="1"/>
      <c r="T4" s="1"/>
    </row>
    <row r="5" spans="1:20" x14ac:dyDescent="0.35">
      <c r="A5" s="2">
        <v>1</v>
      </c>
      <c r="B5" s="1">
        <v>0.11041788399766647</v>
      </c>
      <c r="C5" s="1"/>
      <c r="D5" s="1">
        <v>9.637887957414884E-2</v>
      </c>
      <c r="E5" s="1">
        <v>4</v>
      </c>
      <c r="F5" s="1">
        <f t="shared" si="0"/>
        <v>0.10339838178590766</v>
      </c>
      <c r="G5" s="1">
        <f t="shared" si="1"/>
        <v>9.9270752289772543E-3</v>
      </c>
      <c r="H5">
        <f>AVERAGEA(B5:D5)/E5</f>
        <v>2.5849595446476914E-2</v>
      </c>
      <c r="O5" s="1"/>
      <c r="P5" s="1"/>
      <c r="R5" s="1"/>
      <c r="S5" s="1"/>
      <c r="T5" s="1"/>
    </row>
    <row r="6" spans="1:20" x14ac:dyDescent="0.35">
      <c r="A6" s="2">
        <v>1</v>
      </c>
      <c r="B6" s="1">
        <v>0.12646246048168663</v>
      </c>
      <c r="C6" s="1"/>
      <c r="D6" s="1">
        <v>0.22841237355723137</v>
      </c>
      <c r="E6" s="1">
        <v>8</v>
      </c>
      <c r="F6" s="1">
        <f t="shared" si="0"/>
        <v>0.177437417019459</v>
      </c>
      <c r="G6" s="1">
        <f t="shared" si="1"/>
        <v>7.2089474877096688E-2</v>
      </c>
      <c r="H6">
        <f>AVERAGEA(B6:D6)/E6</f>
        <v>2.2179677127432375E-2</v>
      </c>
      <c r="O6" s="1"/>
      <c r="P6" s="1"/>
      <c r="R6" s="1"/>
      <c r="S6" s="1"/>
      <c r="T6" s="1"/>
    </row>
    <row r="7" spans="1:20" x14ac:dyDescent="0.35">
      <c r="A7" s="2">
        <v>1</v>
      </c>
      <c r="B7" s="1">
        <v>0.13927583753489717</v>
      </c>
      <c r="C7" s="1">
        <v>0.1364903207841992</v>
      </c>
      <c r="D7" s="1">
        <v>0.17994438209508715</v>
      </c>
      <c r="E7" s="1">
        <v>12</v>
      </c>
      <c r="F7" s="1">
        <f t="shared" si="0"/>
        <v>0.1519035134713945</v>
      </c>
      <c r="G7" s="1">
        <f t="shared" si="1"/>
        <v>2.4324010992648758E-2</v>
      </c>
      <c r="H7">
        <f>AVERAGEA(B7:D7)/E7</f>
        <v>1.2658626122616208E-2</v>
      </c>
      <c r="O7" s="1"/>
      <c r="P7" s="1"/>
      <c r="R7" s="1"/>
      <c r="S7" s="1"/>
      <c r="T7" s="1"/>
    </row>
    <row r="8" spans="1:20" x14ac:dyDescent="0.35">
      <c r="A8" s="2">
        <v>1</v>
      </c>
      <c r="B8" s="1">
        <v>0.11309198007833651</v>
      </c>
      <c r="C8" s="1">
        <v>5.5710335013958864E-4</v>
      </c>
      <c r="D8" s="1"/>
      <c r="E8" s="1">
        <v>0</v>
      </c>
      <c r="F8" s="1">
        <f t="shared" si="0"/>
        <v>5.682454171423805E-2</v>
      </c>
      <c r="G8" s="1">
        <f>STDEVA(B8:D8)</f>
        <v>7.9574174454500241E-2</v>
      </c>
      <c r="I8" s="1">
        <v>0.27548209366391185</v>
      </c>
      <c r="J8" s="1">
        <v>0.27548209366391185</v>
      </c>
      <c r="K8" s="3">
        <f>AVERAGEA(I8:J8)</f>
        <v>0.27548209366391185</v>
      </c>
      <c r="L8" s="3">
        <f>STDEVA(I8:J8)</f>
        <v>0</v>
      </c>
      <c r="P8" s="1"/>
      <c r="R8" s="1"/>
      <c r="S8" s="1"/>
      <c r="T8" s="1"/>
    </row>
    <row r="9" spans="1:20" x14ac:dyDescent="0.35">
      <c r="A9" s="2">
        <v>1</v>
      </c>
      <c r="B9" s="1">
        <v>0.37771607139464114</v>
      </c>
      <c r="C9" s="1"/>
      <c r="D9" s="1">
        <v>0.44345426671111254</v>
      </c>
      <c r="E9" s="1">
        <v>2</v>
      </c>
      <c r="F9" s="1">
        <f t="shared" si="0"/>
        <v>0.41058516905287684</v>
      </c>
      <c r="G9" s="1">
        <f>STDEVA(B9:D9)</f>
        <v>4.6483923691242671E-2</v>
      </c>
      <c r="H9">
        <f>AVERAGEA(B9:D9)/E9</f>
        <v>0.20529258452643842</v>
      </c>
      <c r="I9" s="1">
        <v>1.1961722488038278</v>
      </c>
      <c r="J9" s="1">
        <v>1.1961722488038278</v>
      </c>
      <c r="K9" s="3">
        <f>AVERAGEA(I9:J9)</f>
        <v>1.1961722488038278</v>
      </c>
      <c r="L9" s="3">
        <f>STDEVA(I9:J9)</f>
        <v>0</v>
      </c>
      <c r="O9" s="1"/>
      <c r="P9" s="1"/>
      <c r="Q9" s="1"/>
      <c r="R9" s="1"/>
      <c r="S9" s="1"/>
      <c r="T9" s="1"/>
    </row>
    <row r="10" spans="1:20" x14ac:dyDescent="0.35">
      <c r="A10" s="2">
        <v>1</v>
      </c>
      <c r="B10" s="1">
        <v>0.31142077272803009</v>
      </c>
      <c r="C10" s="1">
        <v>0.38495841494645577</v>
      </c>
      <c r="D10" s="1"/>
      <c r="E10" s="1">
        <v>4</v>
      </c>
      <c r="F10" s="1">
        <f t="shared" si="0"/>
        <v>0.34818959383724291</v>
      </c>
      <c r="G10" s="1">
        <f t="shared" si="1"/>
        <v>5.1998965485119363E-2</v>
      </c>
      <c r="H10">
        <f>AVERAGEA(B10:D10)/E10</f>
        <v>8.7047398459310726E-2</v>
      </c>
      <c r="I10" s="1">
        <v>5.6818181818181825</v>
      </c>
      <c r="J10" s="1">
        <v>2.2727272727272729</v>
      </c>
      <c r="K10" s="3">
        <f>AVERAGEA(I10:J10)</f>
        <v>3.9772727272727275</v>
      </c>
      <c r="L10" s="3">
        <f>STDEVA(I10:J10)</f>
        <v>2.4105912994995951</v>
      </c>
      <c r="O10" s="1"/>
      <c r="P10" s="1"/>
      <c r="Q10" s="1"/>
      <c r="R10" s="1"/>
      <c r="S10" s="1"/>
      <c r="T10" s="1"/>
    </row>
    <row r="11" spans="1:20" x14ac:dyDescent="0.35">
      <c r="A11" s="2">
        <v>2</v>
      </c>
      <c r="B11" s="1">
        <v>0.5030643251760486</v>
      </c>
      <c r="C11" s="1">
        <v>0.46016736721530027</v>
      </c>
      <c r="D11" s="1"/>
      <c r="E11" s="1">
        <v>8</v>
      </c>
      <c r="F11" s="1">
        <f t="shared" si="0"/>
        <v>0.48161584619567444</v>
      </c>
      <c r="G11" s="1">
        <f t="shared" si="1"/>
        <v>3.0332729866319394E-2</v>
      </c>
      <c r="H11">
        <f>AVERAGEA(B11:D11)/E11</f>
        <v>6.0201980774459304E-2</v>
      </c>
      <c r="I11" s="1">
        <v>5.1948051948051939</v>
      </c>
      <c r="J11" s="1">
        <v>8.6580086580086579</v>
      </c>
      <c r="K11" s="3">
        <f>AVERAGEA(I11:J11)</f>
        <v>6.9264069264069263</v>
      </c>
      <c r="L11" s="3">
        <f>STDEVA(I11:J11)</f>
        <v>2.4488546534599038</v>
      </c>
      <c r="O11" s="1"/>
      <c r="P11" s="1"/>
      <c r="Q11" s="1"/>
      <c r="R11" s="1"/>
      <c r="S11" s="1"/>
      <c r="T11" s="1"/>
    </row>
    <row r="12" spans="1:20" x14ac:dyDescent="0.35">
      <c r="A12" s="2">
        <v>2</v>
      </c>
      <c r="B12" s="1">
        <v>0.31030656602775092</v>
      </c>
      <c r="C12" s="1">
        <v>0.34317566368598662</v>
      </c>
      <c r="D12" s="1"/>
      <c r="E12" s="1">
        <v>12</v>
      </c>
      <c r="F12" s="1">
        <f t="shared" si="0"/>
        <v>0.32674111485686874</v>
      </c>
      <c r="G12" s="1">
        <f t="shared" si="1"/>
        <v>2.3241961845621332E-2</v>
      </c>
      <c r="H12">
        <f>AVERAGEA(B12:D12)/E12</f>
        <v>2.7228426238072395E-2</v>
      </c>
      <c r="I12" s="1">
        <v>10.540184453227932</v>
      </c>
      <c r="J12" s="1">
        <v>14.492753623188404</v>
      </c>
      <c r="K12" s="3">
        <f>AVERAGEA(I12:J12)</f>
        <v>12.516469038208168</v>
      </c>
      <c r="L12" s="3">
        <f>STDEVA(I12:J12)</f>
        <v>2.7948884631879367</v>
      </c>
      <c r="O12" s="1"/>
      <c r="P12" s="1"/>
      <c r="Q12" s="1"/>
      <c r="R12" s="1"/>
      <c r="S12" s="1"/>
      <c r="T12" s="1"/>
    </row>
    <row r="13" spans="1:20" x14ac:dyDescent="0.35">
      <c r="A13" s="2"/>
      <c r="B13" s="1"/>
      <c r="C13" s="1"/>
      <c r="D13" s="1"/>
      <c r="E13" s="1"/>
      <c r="F13" s="1"/>
      <c r="G13" s="1"/>
      <c r="O13" s="1"/>
      <c r="P13" s="1"/>
      <c r="R13" s="1"/>
      <c r="S13" s="1"/>
      <c r="T13" s="1"/>
    </row>
    <row r="14" spans="1:20" x14ac:dyDescent="0.35">
      <c r="A14" s="2"/>
      <c r="B14" s="1"/>
      <c r="C14" s="1"/>
      <c r="D14" s="1"/>
      <c r="E14" s="1"/>
      <c r="F14" s="1"/>
      <c r="G14" s="1"/>
      <c r="O14" s="1"/>
      <c r="P14" s="1"/>
      <c r="R14" s="1"/>
      <c r="S14" s="1"/>
      <c r="T14" s="1"/>
    </row>
    <row r="15" spans="1:20" x14ac:dyDescent="0.35">
      <c r="A15" s="2"/>
      <c r="B15" s="1"/>
      <c r="C15" s="1"/>
      <c r="D15" s="1"/>
      <c r="E15" s="1"/>
      <c r="F15" s="1"/>
      <c r="G15" s="1"/>
      <c r="O15" s="1"/>
      <c r="P15" s="1"/>
      <c r="R15" s="1"/>
      <c r="S15" s="1"/>
      <c r="T15" s="1"/>
    </row>
    <row r="16" spans="1:20" x14ac:dyDescent="0.35">
      <c r="A16" s="2"/>
      <c r="B16" s="1"/>
      <c r="C16" s="1"/>
      <c r="D16" s="1"/>
      <c r="E16" s="1"/>
      <c r="F16" s="1"/>
      <c r="G16" s="1"/>
      <c r="O16" s="1"/>
      <c r="P16" s="1"/>
      <c r="R16" s="1"/>
      <c r="S16" s="1"/>
      <c r="T16" s="1"/>
    </row>
    <row r="17" spans="1:20" x14ac:dyDescent="0.35">
      <c r="A17" s="2"/>
      <c r="B17" s="1"/>
      <c r="C17" s="1"/>
      <c r="D17" s="1"/>
      <c r="E17" s="1"/>
      <c r="F17" s="1"/>
      <c r="G17" s="1"/>
      <c r="O17" s="1"/>
      <c r="P17" s="1"/>
      <c r="R17" s="1"/>
      <c r="S17" s="1"/>
      <c r="T17" s="1"/>
    </row>
    <row r="18" spans="1:20" x14ac:dyDescent="0.35">
      <c r="A18" s="2"/>
      <c r="B18" s="1"/>
      <c r="C18" s="1"/>
      <c r="D18" s="1"/>
      <c r="E18" s="1"/>
      <c r="F18" s="1"/>
      <c r="G18" s="1"/>
      <c r="O18" s="1"/>
      <c r="P18" s="1"/>
      <c r="R18" s="1"/>
      <c r="S18" s="1"/>
      <c r="T18" s="1"/>
    </row>
    <row r="19" spans="1:20" x14ac:dyDescent="0.35">
      <c r="A19" s="2"/>
      <c r="B19" s="1"/>
      <c r="C19" s="1"/>
      <c r="D19" s="1"/>
      <c r="E19" s="1"/>
      <c r="F19" s="1"/>
      <c r="G19" s="1"/>
      <c r="O19" s="1"/>
      <c r="P19" s="1"/>
      <c r="R19" s="1"/>
      <c r="S19" s="1"/>
      <c r="T19" s="1"/>
    </row>
    <row r="20" spans="1:20" x14ac:dyDescent="0.35">
      <c r="A20" s="2"/>
      <c r="B20" s="1"/>
      <c r="C20" s="1"/>
      <c r="D20" s="1"/>
      <c r="E20" s="1"/>
      <c r="F20" s="1"/>
      <c r="G20" s="1"/>
      <c r="O20" s="1"/>
      <c r="P20" s="1"/>
      <c r="R20" s="1"/>
      <c r="S20" s="1"/>
      <c r="T20" s="1"/>
    </row>
    <row r="21" spans="1:20" x14ac:dyDescent="0.35">
      <c r="A21" s="2"/>
      <c r="B21" s="1"/>
      <c r="C21" s="1"/>
      <c r="D21" s="1"/>
      <c r="E21" s="1"/>
      <c r="F21" s="1"/>
      <c r="G21" s="1"/>
      <c r="O21" s="1"/>
      <c r="P21" s="1"/>
      <c r="R21" s="1"/>
      <c r="S21" s="1"/>
      <c r="T21" s="1"/>
    </row>
    <row r="22" spans="1:20" x14ac:dyDescent="0.35">
      <c r="A22" s="2"/>
      <c r="B22" s="1"/>
      <c r="C22" s="1"/>
      <c r="D22" s="1"/>
      <c r="E22" s="1"/>
      <c r="F22" s="1"/>
      <c r="G22" s="1"/>
      <c r="O22" s="1"/>
      <c r="P22" s="1"/>
      <c r="R22" s="1"/>
      <c r="S22" s="1"/>
      <c r="T22" s="1"/>
    </row>
    <row r="23" spans="1:20" x14ac:dyDescent="0.35">
      <c r="A23" s="2"/>
      <c r="B23" s="1"/>
      <c r="C23" s="1"/>
      <c r="D23" s="1"/>
      <c r="E23" s="1"/>
      <c r="F23" s="1"/>
      <c r="G23" s="1"/>
      <c r="O23" s="1"/>
      <c r="P23" s="1"/>
      <c r="R23" s="1"/>
      <c r="S23" s="1"/>
      <c r="T23" s="1"/>
    </row>
    <row r="24" spans="1:20" x14ac:dyDescent="0.35">
      <c r="B24" s="1"/>
      <c r="C24" s="1"/>
      <c r="D24" s="1"/>
      <c r="E24" s="1"/>
      <c r="F24" s="1"/>
      <c r="G24" s="1"/>
      <c r="O24" s="1"/>
      <c r="P24" s="1"/>
      <c r="R24" s="1"/>
      <c r="S24" s="1"/>
      <c r="T24" s="1"/>
    </row>
    <row r="25" spans="1:20" x14ac:dyDescent="0.35">
      <c r="B25" s="1"/>
      <c r="C25" s="1"/>
      <c r="D25" s="1"/>
      <c r="E25" s="1"/>
      <c r="F25" s="1"/>
      <c r="G25" s="1"/>
      <c r="O25" s="1"/>
      <c r="P25" s="1"/>
      <c r="R25" s="1"/>
      <c r="S25" s="1"/>
      <c r="T25" s="1"/>
    </row>
    <row r="26" spans="1:20" x14ac:dyDescent="0.35">
      <c r="B26" s="1"/>
      <c r="C26" s="1"/>
      <c r="D26" s="1"/>
      <c r="E26" s="1"/>
      <c r="F26" s="1"/>
      <c r="G26" s="1"/>
      <c r="O26" s="1"/>
      <c r="P26" s="1"/>
      <c r="R26" s="1"/>
      <c r="S26" s="1"/>
      <c r="T26" s="1"/>
    </row>
    <row r="27" spans="1:20" x14ac:dyDescent="0.35">
      <c r="A27" s="1"/>
      <c r="B27" s="1"/>
      <c r="C27" s="1"/>
      <c r="D27" s="1"/>
      <c r="E27" s="1"/>
      <c r="F27" s="1"/>
      <c r="G27" s="1"/>
      <c r="O27" s="1"/>
      <c r="P27" s="1"/>
      <c r="R27" s="1"/>
      <c r="S27" s="1"/>
      <c r="T27" s="1"/>
    </row>
    <row r="28" spans="1:20" x14ac:dyDescent="0.35">
      <c r="A28" s="1"/>
      <c r="B28" s="1"/>
      <c r="C28" s="1"/>
      <c r="D28" s="1"/>
      <c r="E28" s="1"/>
      <c r="F28" s="1"/>
      <c r="G28" s="1"/>
      <c r="O28" s="1"/>
      <c r="P28" s="1"/>
      <c r="R28" s="1"/>
      <c r="S28" s="1"/>
      <c r="T28" s="1"/>
    </row>
    <row r="29" spans="1:20" x14ac:dyDescent="0.35">
      <c r="A29" s="1"/>
      <c r="B29" s="1"/>
      <c r="C29" s="1"/>
      <c r="D29" s="1"/>
      <c r="E29" s="1"/>
      <c r="F29" s="1"/>
      <c r="G29" s="1"/>
      <c r="O29" s="1"/>
      <c r="P29" s="1"/>
      <c r="R29" s="1"/>
      <c r="S29" s="1"/>
      <c r="T29" s="1"/>
    </row>
    <row r="30" spans="1:20" x14ac:dyDescent="0.35">
      <c r="A30" s="1"/>
      <c r="B30" s="1"/>
      <c r="C30" s="1"/>
      <c r="D30" s="1"/>
      <c r="E30" s="1"/>
      <c r="F30" s="1"/>
      <c r="G30" s="1"/>
      <c r="O30" s="1"/>
      <c r="P30" s="1"/>
      <c r="R30" s="1"/>
      <c r="S30" s="1"/>
      <c r="T30" s="1"/>
    </row>
    <row r="31" spans="1:20" x14ac:dyDescent="0.35">
      <c r="A31" s="1"/>
      <c r="B31" s="1"/>
      <c r="C31" s="1"/>
      <c r="D31" s="1"/>
      <c r="E31" s="1"/>
      <c r="F31" s="1"/>
      <c r="G31" s="1"/>
      <c r="O31" s="1"/>
      <c r="P31" s="1"/>
      <c r="R31" s="1"/>
      <c r="S31" s="1"/>
      <c r="T31" s="1"/>
    </row>
    <row r="32" spans="1:20" x14ac:dyDescent="0.35">
      <c r="A32" s="1"/>
      <c r="B32" s="1"/>
      <c r="C32" s="1"/>
      <c r="D32" s="1"/>
      <c r="E32" s="1"/>
      <c r="F32" s="1"/>
      <c r="G32" s="1"/>
      <c r="O32" s="1"/>
      <c r="P32" s="1"/>
      <c r="R32" s="1"/>
      <c r="S32" s="1"/>
      <c r="T32" s="1"/>
    </row>
    <row r="33" spans="1:20" x14ac:dyDescent="0.35">
      <c r="A33" s="1"/>
      <c r="B33" s="1"/>
      <c r="C33" s="1"/>
      <c r="D33" s="1"/>
      <c r="E33" s="1"/>
      <c r="F33" s="1"/>
      <c r="G33" s="1"/>
      <c r="O33" s="1"/>
      <c r="P33" s="1"/>
      <c r="R33" s="1"/>
      <c r="S33" s="1"/>
      <c r="T33" s="1"/>
    </row>
    <row r="34" spans="1:20" x14ac:dyDescent="0.35">
      <c r="A34" s="1"/>
      <c r="B34" s="1"/>
      <c r="C34" s="1"/>
      <c r="D34" s="1"/>
      <c r="E34" s="1"/>
      <c r="F34" s="1"/>
      <c r="G34" s="1"/>
      <c r="O34" s="1"/>
      <c r="P34" s="1"/>
      <c r="R34" s="1"/>
      <c r="S34" s="1"/>
      <c r="T34" s="1"/>
    </row>
    <row r="35" spans="1:20" x14ac:dyDescent="0.35">
      <c r="A35" s="1"/>
      <c r="B35" s="1"/>
      <c r="C35" s="1"/>
      <c r="D35" s="1"/>
      <c r="E35" s="1"/>
      <c r="F35" s="1"/>
      <c r="G35" s="1"/>
      <c r="O35" s="1"/>
      <c r="P35" s="1"/>
      <c r="R35" s="1"/>
      <c r="S35" s="1"/>
      <c r="T35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 Zhang</dc:creator>
  <cp:lastModifiedBy>Zhang, Sha</cp:lastModifiedBy>
  <dcterms:created xsi:type="dcterms:W3CDTF">2015-06-05T18:17:20Z</dcterms:created>
  <dcterms:modified xsi:type="dcterms:W3CDTF">2025-01-28T08:15:35Z</dcterms:modified>
</cp:coreProperties>
</file>