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zhang\seadrive_root\Sha.Zhan\Shared with me\eBiogeochem\Sha.Zhang\Floating Living Iron films\"/>
    </mc:Choice>
  </mc:AlternateContent>
  <xr:revisionPtr revIDLastSave="0" documentId="13_ncr:1_{C2ED8588-6DA4-4EA4-8387-0A223F40671A}" xr6:coauthVersionLast="47" xr6:coauthVersionMax="47" xr10:uidLastSave="{00000000-0000-0000-0000-000000000000}"/>
  <bookViews>
    <workbookView xWindow="6320" yWindow="1020" windowWidth="18710" windowHeight="111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1" l="1"/>
  <c r="G35" i="1"/>
  <c r="E35" i="1"/>
  <c r="F34" i="1"/>
  <c r="G34" i="1"/>
  <c r="E34" i="1"/>
</calcChain>
</file>

<file path=xl/sharedStrings.xml><?xml version="1.0" encoding="utf-8"?>
<sst xmlns="http://schemas.openxmlformats.org/spreadsheetml/2006/main" count="69" uniqueCount="42">
  <si>
    <t>Location</t>
  </si>
  <si>
    <t>Latitude</t>
  </si>
  <si>
    <t>Longitude</t>
  </si>
  <si>
    <t>GD_QY</t>
  </si>
  <si>
    <t>GD_SG</t>
  </si>
  <si>
    <t>GD_SG2</t>
  </si>
  <si>
    <t>GD_FS</t>
  </si>
  <si>
    <t>GX_BS</t>
  </si>
  <si>
    <t>HB_BD</t>
  </si>
  <si>
    <t>HB_ES</t>
  </si>
  <si>
    <t>HLJ_DQ</t>
  </si>
  <si>
    <t>HLJ_HL</t>
  </si>
  <si>
    <t>HLJ_MDJ</t>
  </si>
  <si>
    <t>JS_LYG</t>
  </si>
  <si>
    <t>JS_YCH</t>
  </si>
  <si>
    <t>ZJ_ZS</t>
  </si>
  <si>
    <t>JS_DSH</t>
  </si>
  <si>
    <t>JS_HA</t>
  </si>
  <si>
    <t>JS_SZ</t>
  </si>
  <si>
    <t>HN_CZ</t>
  </si>
  <si>
    <t>HN_NF</t>
  </si>
  <si>
    <t>HN_ZJJ</t>
  </si>
  <si>
    <t>HN_BS</t>
  </si>
  <si>
    <t>JX_YT</t>
  </si>
  <si>
    <t>JX_GZ</t>
  </si>
  <si>
    <t>LN_PJ</t>
  </si>
  <si>
    <t>NJ_PK</t>
  </si>
  <si>
    <t>SC_ABG</t>
  </si>
  <si>
    <t>SC_MY</t>
  </si>
  <si>
    <t>SD_DY</t>
  </si>
  <si>
    <t>XJ_WWE</t>
  </si>
  <si>
    <t>YN_KM</t>
  </si>
  <si>
    <t>ZJ_SY</t>
  </si>
  <si>
    <t>type</t>
  </si>
  <si>
    <t>Paddy soil</t>
  </si>
  <si>
    <t>Iron</t>
  </si>
  <si>
    <t>g/kg</t>
  </si>
  <si>
    <t>Coastal sediment</t>
  </si>
  <si>
    <t>Organic matter</t>
  </si>
  <si>
    <t>%</t>
  </si>
  <si>
    <t>Lake sediment</t>
  </si>
  <si>
    <t>Soil paste 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</si>
</sst>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6" applyNumberFormat="0" applyAlignment="0" applyProtection="0"/>
    <xf numFmtId="0" fontId="11" fillId="6" borderId="7" applyNumberFormat="0" applyAlignment="0" applyProtection="0"/>
    <xf numFmtId="0" fontId="12" fillId="6" borderId="6" applyNumberFormat="0" applyAlignment="0" applyProtection="0"/>
    <xf numFmtId="0" fontId="13" fillId="0" borderId="8" applyNumberFormat="0" applyFill="0" applyAlignment="0" applyProtection="0"/>
    <xf numFmtId="0" fontId="14" fillId="7" borderId="9" applyNumberFormat="0" applyAlignment="0" applyProtection="0"/>
    <xf numFmtId="0" fontId="15" fillId="0" borderId="0" applyNumberFormat="0" applyFill="0" applyBorder="0" applyAlignment="0" applyProtection="0"/>
    <xf numFmtId="0" fontId="2" fillId="8" borderId="10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1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164" fontId="15" fillId="0" borderId="0" xfId="0" applyNumberFormat="1" applyFont="1" applyAlignment="1">
      <alignment horizontal="center"/>
    </xf>
    <xf numFmtId="0" fontId="15" fillId="0" borderId="0" xfId="0" applyFont="1"/>
    <xf numFmtId="0" fontId="19" fillId="0" borderId="0" xfId="42"/>
    <xf numFmtId="2" fontId="1" fillId="0" borderId="12" xfId="0" applyNumberFormat="1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abSelected="1" topLeftCell="A19" workbookViewId="0">
      <selection activeCell="H27" sqref="H27"/>
    </sheetView>
  </sheetViews>
  <sheetFormatPr defaultRowHeight="14.5" x14ac:dyDescent="0.35"/>
  <cols>
    <col min="1" max="1" width="8.1796875" bestFit="1" customWidth="1"/>
    <col min="2" max="2" width="9.81640625" bestFit="1" customWidth="1"/>
    <col min="3" max="3" width="10.81640625" bestFit="1" customWidth="1"/>
    <col min="4" max="4" width="15.1796875" style="4" bestFit="1" customWidth="1"/>
    <col min="5" max="5" width="4.36328125" style="9" bestFit="1" customWidth="1"/>
    <col min="6" max="6" width="13.54296875" style="10" bestFit="1" customWidth="1"/>
    <col min="7" max="7" width="11.54296875" style="10" bestFit="1" customWidth="1"/>
    <col min="8" max="8" width="11.81640625" style="4" bestFit="1" customWidth="1"/>
    <col min="9" max="9" width="11.81640625" bestFit="1" customWidth="1"/>
    <col min="11" max="11" width="8.81640625" bestFit="1" customWidth="1"/>
    <col min="12" max="13" width="11.81640625" bestFit="1" customWidth="1"/>
    <col min="14" max="14" width="11.26953125" style="4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2" t="s">
        <v>33</v>
      </c>
      <c r="E1" s="9" t="s">
        <v>35</v>
      </c>
      <c r="F1" s="8" t="s">
        <v>38</v>
      </c>
      <c r="G1" s="10" t="s">
        <v>41</v>
      </c>
      <c r="I1" s="4"/>
    </row>
    <row r="2" spans="1:22" x14ac:dyDescent="0.35">
      <c r="A2" s="3"/>
      <c r="B2" s="3"/>
      <c r="C2" s="3"/>
      <c r="D2" s="3"/>
      <c r="E2" s="9" t="s">
        <v>36</v>
      </c>
      <c r="F2" s="10" t="s">
        <v>39</v>
      </c>
    </row>
    <row r="3" spans="1:22" x14ac:dyDescent="0.35">
      <c r="A3" t="s">
        <v>3</v>
      </c>
      <c r="B3">
        <v>23.35</v>
      </c>
      <c r="C3">
        <v>113.33329999999999</v>
      </c>
      <c r="D3" s="4" t="s">
        <v>34</v>
      </c>
      <c r="E3" s="9">
        <v>18.5</v>
      </c>
      <c r="F3" s="10">
        <v>1.6924136666666667</v>
      </c>
      <c r="G3" s="10">
        <v>5.9333333333333327</v>
      </c>
      <c r="I3" s="4"/>
    </row>
    <row r="4" spans="1:22" x14ac:dyDescent="0.35">
      <c r="A4" t="s">
        <v>4</v>
      </c>
      <c r="B4">
        <v>25.101389000000001</v>
      </c>
      <c r="C4">
        <v>113.63888900000001</v>
      </c>
      <c r="D4" s="4" t="s">
        <v>34</v>
      </c>
      <c r="E4" s="9">
        <v>24.5</v>
      </c>
      <c r="F4" s="10">
        <v>2.6904596666666669</v>
      </c>
      <c r="G4" s="10">
        <v>5.94</v>
      </c>
      <c r="I4" s="4"/>
    </row>
    <row r="5" spans="1:22" x14ac:dyDescent="0.35">
      <c r="A5" t="s">
        <v>5</v>
      </c>
      <c r="B5">
        <v>25.11515</v>
      </c>
      <c r="C5">
        <v>113.63373</v>
      </c>
      <c r="D5" s="4" t="s">
        <v>34</v>
      </c>
      <c r="E5" s="9">
        <v>22.7</v>
      </c>
      <c r="F5" s="10">
        <v>2.4404596666666669</v>
      </c>
      <c r="G5" s="10">
        <v>5.9666666666666659</v>
      </c>
      <c r="I5" s="4"/>
    </row>
    <row r="6" spans="1:22" x14ac:dyDescent="0.35">
      <c r="A6" t="s">
        <v>6</v>
      </c>
      <c r="B6">
        <v>23.162500000000001</v>
      </c>
      <c r="C6">
        <v>112.854444</v>
      </c>
      <c r="D6" s="4" t="s">
        <v>34</v>
      </c>
      <c r="E6" s="9">
        <v>21.5</v>
      </c>
      <c r="F6" s="10">
        <v>1.6402300000000001</v>
      </c>
      <c r="G6" s="10">
        <v>6.47</v>
      </c>
      <c r="I6" s="4"/>
    </row>
    <row r="7" spans="1:22" x14ac:dyDescent="0.35">
      <c r="A7" t="s">
        <v>7</v>
      </c>
      <c r="B7">
        <v>23.836846000000001</v>
      </c>
      <c r="C7">
        <v>106.63403</v>
      </c>
      <c r="D7" s="4" t="s">
        <v>34</v>
      </c>
      <c r="E7" s="9">
        <v>22.5</v>
      </c>
      <c r="F7" s="10">
        <v>2.2866378102499998</v>
      </c>
      <c r="G7" s="10">
        <v>6.2022222222222227</v>
      </c>
    </row>
    <row r="8" spans="1:22" x14ac:dyDescent="0.35">
      <c r="A8" t="s">
        <v>8</v>
      </c>
      <c r="B8">
        <v>38.915550000000003</v>
      </c>
      <c r="C8">
        <v>115.948367</v>
      </c>
      <c r="D8" s="4" t="s">
        <v>34</v>
      </c>
      <c r="E8" s="9">
        <v>6</v>
      </c>
      <c r="F8" s="10">
        <v>1.7813794999999999</v>
      </c>
      <c r="G8" s="10">
        <v>6.835</v>
      </c>
    </row>
    <row r="9" spans="1:22" x14ac:dyDescent="0.35">
      <c r="A9" t="s">
        <v>9</v>
      </c>
      <c r="B9">
        <v>30.112331000000001</v>
      </c>
      <c r="C9">
        <v>109.394569</v>
      </c>
      <c r="D9" s="4" t="s">
        <v>34</v>
      </c>
      <c r="E9" s="9">
        <v>15</v>
      </c>
      <c r="F9" s="10">
        <v>2.9012035034999997</v>
      </c>
      <c r="G9" s="10">
        <v>5.5362247660000001</v>
      </c>
      <c r="H9"/>
    </row>
    <row r="10" spans="1:22" x14ac:dyDescent="0.35">
      <c r="A10" t="s">
        <v>10</v>
      </c>
      <c r="B10">
        <v>46.581667000000003</v>
      </c>
      <c r="C10">
        <v>125.166111</v>
      </c>
      <c r="D10" s="4" t="s">
        <v>34</v>
      </c>
      <c r="E10" s="9">
        <v>9</v>
      </c>
      <c r="F10" s="10">
        <v>2.2763795</v>
      </c>
      <c r="G10" s="10">
        <v>7.1750000000000007</v>
      </c>
      <c r="H10"/>
    </row>
    <row r="11" spans="1:22" x14ac:dyDescent="0.35">
      <c r="A11" t="s">
        <v>11</v>
      </c>
      <c r="B11">
        <v>47.162247000000001</v>
      </c>
      <c r="C11">
        <v>127.312095</v>
      </c>
      <c r="D11" s="4" t="s">
        <v>34</v>
      </c>
      <c r="E11" s="5">
        <v>14</v>
      </c>
      <c r="F11" s="10">
        <v>2.6439196666666667</v>
      </c>
      <c r="G11" s="10">
        <v>6.74</v>
      </c>
      <c r="H11" s="6"/>
      <c r="L11" s="6"/>
      <c r="V11" s="7"/>
    </row>
    <row r="12" spans="1:22" x14ac:dyDescent="0.35">
      <c r="A12" t="s">
        <v>12</v>
      </c>
      <c r="B12">
        <v>45.662768999999997</v>
      </c>
      <c r="C12">
        <v>130.061013</v>
      </c>
      <c r="D12" s="4" t="s">
        <v>34</v>
      </c>
      <c r="E12" s="9">
        <v>8.766</v>
      </c>
      <c r="F12" s="10">
        <v>1.9827588105</v>
      </c>
      <c r="G12" s="10">
        <v>7.1966666666666663</v>
      </c>
      <c r="H12"/>
      <c r="V12" s="7"/>
    </row>
    <row r="13" spans="1:22" x14ac:dyDescent="0.35">
      <c r="A13" t="s">
        <v>13</v>
      </c>
      <c r="B13">
        <v>34.550556</v>
      </c>
      <c r="C13">
        <v>119.314167</v>
      </c>
      <c r="D13" s="4" t="s">
        <v>34</v>
      </c>
      <c r="E13" s="9">
        <v>11</v>
      </c>
      <c r="F13" s="10">
        <v>2.8184485000000001</v>
      </c>
      <c r="G13" s="10">
        <v>7.46</v>
      </c>
      <c r="H13"/>
    </row>
    <row r="14" spans="1:22" x14ac:dyDescent="0.35">
      <c r="A14" t="s">
        <v>14</v>
      </c>
      <c r="B14">
        <v>31.473756000000002</v>
      </c>
      <c r="C14">
        <v>120.771911</v>
      </c>
      <c r="D14" s="4" t="s">
        <v>34</v>
      </c>
      <c r="E14" s="9">
        <v>20</v>
      </c>
      <c r="F14" s="10">
        <v>2.6724139999999998</v>
      </c>
      <c r="G14" s="10">
        <v>6.6499999999999995</v>
      </c>
    </row>
    <row r="15" spans="1:22" x14ac:dyDescent="0.35">
      <c r="A15" t="s">
        <v>15</v>
      </c>
      <c r="B15">
        <v>30.182576000000001</v>
      </c>
      <c r="C15">
        <v>122.68609600000001</v>
      </c>
      <c r="D15" s="4" t="s">
        <v>37</v>
      </c>
      <c r="E15" s="9">
        <v>0.10344827586206896</v>
      </c>
      <c r="F15" s="10">
        <v>1.4827586379310345</v>
      </c>
      <c r="G15" s="10">
        <v>7.4649999999999999</v>
      </c>
    </row>
    <row r="16" spans="1:22" x14ac:dyDescent="0.35">
      <c r="A16" t="s">
        <v>16</v>
      </c>
      <c r="B16">
        <v>31.289833999999999</v>
      </c>
      <c r="C16">
        <v>120.693797</v>
      </c>
      <c r="D16" s="4" t="s">
        <v>40</v>
      </c>
      <c r="E16" s="9">
        <v>42</v>
      </c>
      <c r="F16" s="10">
        <v>2.9950859999999997</v>
      </c>
      <c r="G16" s="10">
        <v>6.2399999999999993</v>
      </c>
      <c r="H16"/>
    </row>
    <row r="17" spans="1:22" x14ac:dyDescent="0.35">
      <c r="A17" t="s">
        <v>17</v>
      </c>
      <c r="B17">
        <v>33.594166999999999</v>
      </c>
      <c r="C17">
        <v>118.885278</v>
      </c>
      <c r="D17" s="4" t="s">
        <v>34</v>
      </c>
      <c r="E17" s="9">
        <v>18.5</v>
      </c>
      <c r="F17" s="10">
        <v>2.2924136666666666</v>
      </c>
      <c r="G17" s="10">
        <v>6.8966666666666656</v>
      </c>
      <c r="H17"/>
      <c r="I17" s="4"/>
    </row>
    <row r="18" spans="1:22" x14ac:dyDescent="0.35">
      <c r="A18" t="s">
        <v>18</v>
      </c>
      <c r="B18">
        <v>31.115020999999999</v>
      </c>
      <c r="C18">
        <v>120.32462</v>
      </c>
      <c r="D18" s="4" t="s">
        <v>34</v>
      </c>
      <c r="E18" s="9">
        <v>16</v>
      </c>
      <c r="F18" s="10">
        <v>1.3</v>
      </c>
      <c r="G18" s="10">
        <v>6.19</v>
      </c>
    </row>
    <row r="19" spans="1:22" x14ac:dyDescent="0.35">
      <c r="A19" t="s">
        <v>19</v>
      </c>
      <c r="B19">
        <v>25.591667000000001</v>
      </c>
      <c r="C19">
        <v>113.01472200000001</v>
      </c>
      <c r="D19" s="4" t="s">
        <v>34</v>
      </c>
      <c r="E19" s="9">
        <v>88.2</v>
      </c>
      <c r="F19" s="10">
        <v>2.9334483333333332</v>
      </c>
      <c r="G19" s="10">
        <v>6.6099999999999994</v>
      </c>
      <c r="H19"/>
      <c r="I19" s="4"/>
    </row>
    <row r="20" spans="1:22" x14ac:dyDescent="0.35">
      <c r="A20" t="s">
        <v>20</v>
      </c>
      <c r="B20">
        <v>18.370215000000002</v>
      </c>
      <c r="C20">
        <v>109.188711</v>
      </c>
      <c r="D20" s="4" t="s">
        <v>34</v>
      </c>
      <c r="E20" s="9">
        <v>27.5</v>
      </c>
      <c r="F20" s="10">
        <v>1.9869654999999999</v>
      </c>
      <c r="G20" s="10">
        <v>5.7850000000000001</v>
      </c>
      <c r="V20" s="7"/>
    </row>
    <row r="21" spans="1:22" x14ac:dyDescent="0.35">
      <c r="A21" t="s">
        <v>21</v>
      </c>
      <c r="B21">
        <v>29.113621999999999</v>
      </c>
      <c r="C21">
        <v>110.404061</v>
      </c>
      <c r="D21" s="4" t="s">
        <v>34</v>
      </c>
      <c r="E21" s="9">
        <v>17.2</v>
      </c>
      <c r="F21" s="10">
        <v>2.8793104999999999</v>
      </c>
      <c r="G21" s="10">
        <v>5.6966666666666663</v>
      </c>
    </row>
    <row r="22" spans="1:22" x14ac:dyDescent="0.35">
      <c r="A22" t="s">
        <v>22</v>
      </c>
      <c r="B22">
        <v>19.439761000000001</v>
      </c>
      <c r="C22">
        <v>109.07098999999999</v>
      </c>
      <c r="D22" s="4" t="s">
        <v>34</v>
      </c>
      <c r="E22" s="9">
        <v>24</v>
      </c>
      <c r="F22" s="10">
        <v>2.2810345000000001</v>
      </c>
      <c r="G22" s="10">
        <v>6.1850000000000005</v>
      </c>
    </row>
    <row r="23" spans="1:22" x14ac:dyDescent="0.35">
      <c r="A23" t="s">
        <v>23</v>
      </c>
      <c r="B23">
        <v>28.199247</v>
      </c>
      <c r="C23">
        <v>116.92439299999999</v>
      </c>
      <c r="D23" s="4" t="s">
        <v>34</v>
      </c>
      <c r="E23" s="9">
        <v>26</v>
      </c>
      <c r="F23" s="10">
        <v>2.010345</v>
      </c>
      <c r="G23" s="10">
        <v>5.7249999999999996</v>
      </c>
    </row>
    <row r="24" spans="1:22" x14ac:dyDescent="0.35">
      <c r="A24" t="s">
        <v>24</v>
      </c>
      <c r="B24">
        <v>25.293299999999999</v>
      </c>
      <c r="C24">
        <v>115.07640000000001</v>
      </c>
      <c r="D24" s="4" t="s">
        <v>34</v>
      </c>
      <c r="E24" s="9">
        <v>50.330000000000005</v>
      </c>
      <c r="F24" s="10">
        <v>2.3270689999999998</v>
      </c>
      <c r="G24" s="10">
        <v>5.68</v>
      </c>
      <c r="H24"/>
    </row>
    <row r="25" spans="1:22" x14ac:dyDescent="0.35">
      <c r="A25" t="s">
        <v>25</v>
      </c>
      <c r="B25">
        <v>41.099850000000004</v>
      </c>
      <c r="C25">
        <v>121.957159</v>
      </c>
      <c r="D25" s="4" t="s">
        <v>34</v>
      </c>
      <c r="E25" s="9">
        <v>10</v>
      </c>
      <c r="F25" s="10">
        <v>1.9913794999999999</v>
      </c>
      <c r="G25" s="10">
        <v>6.93</v>
      </c>
    </row>
    <row r="26" spans="1:22" x14ac:dyDescent="0.35">
      <c r="A26" t="s">
        <v>26</v>
      </c>
      <c r="B26">
        <v>31.967157</v>
      </c>
      <c r="C26">
        <v>118.603041</v>
      </c>
      <c r="D26" s="4" t="s">
        <v>34</v>
      </c>
      <c r="E26" s="9">
        <v>18</v>
      </c>
      <c r="F26" s="10">
        <v>2.9482759999999999</v>
      </c>
      <c r="G26" s="10">
        <v>6.69</v>
      </c>
    </row>
    <row r="27" spans="1:22" x14ac:dyDescent="0.35">
      <c r="A27" t="s">
        <v>27</v>
      </c>
      <c r="B27">
        <v>30.988699</v>
      </c>
      <c r="C27">
        <v>103.467455</v>
      </c>
      <c r="D27" s="4" t="s">
        <v>34</v>
      </c>
      <c r="E27" s="9">
        <v>30</v>
      </c>
      <c r="F27" s="10">
        <v>2.5517240000000001</v>
      </c>
      <c r="G27" s="10">
        <v>6.2</v>
      </c>
    </row>
    <row r="28" spans="1:22" x14ac:dyDescent="0.35">
      <c r="A28" t="s">
        <v>28</v>
      </c>
      <c r="B28">
        <v>31.388138999999999</v>
      </c>
      <c r="C28">
        <v>104.81583999999999</v>
      </c>
      <c r="D28" s="4" t="s">
        <v>34</v>
      </c>
      <c r="E28" s="9">
        <v>22.5</v>
      </c>
      <c r="F28" s="10">
        <v>2.7758620000000001</v>
      </c>
      <c r="G28" s="10">
        <v>6.6449999999999996</v>
      </c>
    </row>
    <row r="29" spans="1:22" x14ac:dyDescent="0.35">
      <c r="A29" t="s">
        <v>29</v>
      </c>
      <c r="B29">
        <v>37.367896000000002</v>
      </c>
      <c r="C29">
        <v>118.74056400000001</v>
      </c>
      <c r="D29" s="4" t="s">
        <v>34</v>
      </c>
      <c r="E29" s="9">
        <v>16</v>
      </c>
      <c r="F29" s="10">
        <v>3.0172409999999998</v>
      </c>
      <c r="G29" s="10">
        <v>7.169999999999999</v>
      </c>
    </row>
    <row r="30" spans="1:22" x14ac:dyDescent="0.35">
      <c r="A30" t="s">
        <v>30</v>
      </c>
      <c r="B30">
        <v>41.295636000000002</v>
      </c>
      <c r="C30">
        <v>80.240258999999995</v>
      </c>
      <c r="D30" s="4" t="s">
        <v>34</v>
      </c>
      <c r="E30" s="9">
        <v>10</v>
      </c>
      <c r="F30" s="10">
        <v>0.90517249999999994</v>
      </c>
      <c r="G30" s="10">
        <v>7.9</v>
      </c>
      <c r="I30" s="4"/>
    </row>
    <row r="31" spans="1:22" x14ac:dyDescent="0.35">
      <c r="A31" t="s">
        <v>31</v>
      </c>
      <c r="B31">
        <v>24.997599999999998</v>
      </c>
      <c r="C31">
        <v>102.714</v>
      </c>
      <c r="D31" s="4" t="s">
        <v>34</v>
      </c>
      <c r="E31" s="9">
        <v>21</v>
      </c>
      <c r="F31" s="10">
        <v>3.9072415</v>
      </c>
      <c r="G31" s="10">
        <v>6.0349999999999993</v>
      </c>
      <c r="H31"/>
    </row>
    <row r="32" spans="1:22" x14ac:dyDescent="0.35">
      <c r="A32" t="s">
        <v>32</v>
      </c>
      <c r="B32">
        <v>30.002230999999998</v>
      </c>
      <c r="C32">
        <v>120.799483</v>
      </c>
      <c r="D32" s="4" t="s">
        <v>34</v>
      </c>
      <c r="E32" s="9">
        <v>13.7</v>
      </c>
      <c r="F32" s="10">
        <v>2.7006895000000002</v>
      </c>
      <c r="G32" s="10">
        <v>5.91</v>
      </c>
      <c r="H32"/>
    </row>
    <row r="34" spans="5:7" x14ac:dyDescent="0.35">
      <c r="E34" s="9">
        <f>AVERAGEA(E3:E32)</f>
        <v>21.483314942528736</v>
      </c>
      <c r="F34" s="9">
        <f t="shared" ref="F34:G34" si="0">AVERAGEA(F3:F32)</f>
        <v>2.3704240476282563</v>
      </c>
      <c r="G34" s="9">
        <f t="shared" si="0"/>
        <v>6.468614899607406</v>
      </c>
    </row>
    <row r="35" spans="5:7" x14ac:dyDescent="0.35">
      <c r="E35" s="9">
        <f>STDEVA(E3:E32)</f>
        <v>16.092178149164983</v>
      </c>
      <c r="F35" s="9">
        <f t="shared" ref="F35:G35" si="1">STDEVA(F3:F32)</f>
        <v>0.62049512282747499</v>
      </c>
      <c r="G35" s="9">
        <f t="shared" si="1"/>
        <v>0.61759747128801945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Sha</cp:lastModifiedBy>
  <dcterms:created xsi:type="dcterms:W3CDTF">2025-01-19T17:09:50Z</dcterms:created>
  <dcterms:modified xsi:type="dcterms:W3CDTF">2025-03-06T11:36:40Z</dcterms:modified>
</cp:coreProperties>
</file>